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PetSto\GitRepos\PStoffersen\"/>
    </mc:Choice>
  </mc:AlternateContent>
  <xr:revisionPtr revIDLastSave="0" documentId="13_ncr:1_{CC67BFF2-144C-40A8-B713-E85A779E571E}" xr6:coauthVersionLast="47" xr6:coauthVersionMax="47" xr10:uidLastSave="{00000000-0000-0000-0000-000000000000}"/>
  <bookViews>
    <workbookView xWindow="1103" yWindow="1103" windowWidth="14400" windowHeight="8182" xr2:uid="{393F17AA-E215-41DA-A19A-87E6CD84DAE4}"/>
  </bookViews>
  <sheets>
    <sheet name="program_akt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" l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</calcChain>
</file>

<file path=xl/sharedStrings.xml><?xml version="1.0" encoding="utf-8"?>
<sst xmlns="http://schemas.openxmlformats.org/spreadsheetml/2006/main" count="109" uniqueCount="34">
  <si>
    <t>SÆSON OPSÆTNING</t>
  </si>
  <si>
    <t>Saeson Navn:</t>
  </si>
  <si>
    <t>2025-2026</t>
  </si>
  <si>
    <t>Saeson Startdato:</t>
  </si>
  <si>
    <t>(Skift kun Saeson Navn og Startdato ovenfor - resten beregnes automatisk)</t>
  </si>
  <si>
    <t>Runde 1</t>
  </si>
  <si>
    <t>Pingvinus</t>
  </si>
  <si>
    <t>Kaninus</t>
  </si>
  <si>
    <t>Kardinalus</t>
  </si>
  <si>
    <t>Gorilla</t>
  </si>
  <si>
    <t>King</t>
  </si>
  <si>
    <t>Runde 2</t>
  </si>
  <si>
    <t>FRI ODDS RUNDE A</t>
  </si>
  <si>
    <t>Alle hold</t>
  </si>
  <si>
    <t>(ingen kampe)</t>
  </si>
  <si>
    <t>Runde 3</t>
  </si>
  <si>
    <t>Runde 4</t>
  </si>
  <si>
    <t>Runde 5</t>
  </si>
  <si>
    <t>FRI ODDS RUNDE B</t>
  </si>
  <si>
    <t>Runde 6</t>
  </si>
  <si>
    <t>Runde 7</t>
  </si>
  <si>
    <t>FRI ODDS RUNDE C</t>
  </si>
  <si>
    <t>Runde 8</t>
  </si>
  <si>
    <t>Runde 9</t>
  </si>
  <si>
    <t>Runde 10</t>
  </si>
  <si>
    <t>FRI ODDS RUNDE D</t>
  </si>
  <si>
    <t>Runde</t>
  </si>
  <si>
    <t>Uge</t>
  </si>
  <si>
    <t>Dato Start</t>
  </si>
  <si>
    <t>Dato Slut</t>
  </si>
  <si>
    <t>Hold 1</t>
  </si>
  <si>
    <t>Hold 2</t>
  </si>
  <si>
    <t>Fri Odds</t>
  </si>
  <si>
    <t>Noter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</si>
</sst>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0" xfId="0" applyFill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0" fillId="3" borderId="0" xfId="0" applyNumberFormat="1" applyFill="1"/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AF8F-AB65-4186-BD54-AF238B0FAEDC}">
  <dimension ref="A2:H32"/>
  <sheetViews>
    <sheetView tabSelected="1" workbookViewId="0">
      <pane ySplit="8" topLeftCell="A9" activePane="bottomLeft" state="frozen"/>
      <selection pane="bottomLeft"/>
    </sheetView>
  </sheetViews>
  <sheetFormatPr defaultRowHeight="14.25" x14ac:dyDescent="0.45"/>
  <cols>
    <col min="1" max="1" width="20.59765625" customWidth="1"/>
    <col min="2" max="2" width="8.59765625" customWidth="1"/>
    <col min="3" max="4" width="12.59765625" customWidth="1"/>
    <col min="5" max="7" width="16.59765625" customWidth="1"/>
    <col min="8" max="8" width="22.59765625" customWidth="1"/>
  </cols>
  <sheetData>
    <row r="2" spans="1:8" ht="18" x14ac:dyDescent="0.55000000000000004">
      <c r="A2" s="7" t="s">
        <v>0</v>
      </c>
      <c r="B2" s="8"/>
      <c r="C2" s="8"/>
      <c r="D2" s="8"/>
    </row>
    <row r="3" spans="1:8" x14ac:dyDescent="0.45">
      <c r="A3" s="1" t="s">
        <v>1</v>
      </c>
      <c r="C3" s="2" t="s">
        <v>2</v>
      </c>
    </row>
    <row r="4" spans="1:8" x14ac:dyDescent="0.45">
      <c r="A4" s="1" t="s">
        <v>3</v>
      </c>
      <c r="C4" s="9">
        <v>45901</v>
      </c>
    </row>
    <row r="6" spans="1:8" x14ac:dyDescent="0.45">
      <c r="A6" s="3" t="s">
        <v>4</v>
      </c>
    </row>
    <row r="8" spans="1:8" x14ac:dyDescent="0.45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</row>
    <row r="9" spans="1:8" x14ac:dyDescent="0.45">
      <c r="A9" s="5" t="s">
        <v>5</v>
      </c>
      <c r="B9" s="5">
        <f>_xlfn.ISOWEEKNUM($C$4+0*7)</f>
        <v>36</v>
      </c>
      <c r="C9" s="10">
        <f>DATE(YEAR($C$4+0*7),MONTH($C$4+0*7),DAY($C$4+0*7)-WEEKDAY($C$4+0*7,2)+1)</f>
        <v>45901</v>
      </c>
      <c r="D9" s="10">
        <f t="shared" ref="D9:D32" si="0">C9+6</f>
        <v>45907</v>
      </c>
      <c r="E9" s="5" t="s">
        <v>6</v>
      </c>
      <c r="F9" s="5" t="s">
        <v>7</v>
      </c>
      <c r="G9" s="5" t="s">
        <v>8</v>
      </c>
      <c r="H9" s="5"/>
    </row>
    <row r="10" spans="1:8" x14ac:dyDescent="0.45">
      <c r="A10" s="5" t="s">
        <v>5</v>
      </c>
      <c r="B10" s="5">
        <f>_xlfn.ISOWEEKNUM($C$4+0*7)</f>
        <v>36</v>
      </c>
      <c r="C10" s="10">
        <f>DATE(YEAR($C$4+0*7),MONTH($C$4+0*7),DAY($C$4+0*7)-WEEKDAY($C$4+0*7,2)+1)</f>
        <v>45901</v>
      </c>
      <c r="D10" s="10">
        <f t="shared" si="0"/>
        <v>45907</v>
      </c>
      <c r="E10" s="5" t="s">
        <v>9</v>
      </c>
      <c r="F10" s="5" t="s">
        <v>10</v>
      </c>
      <c r="G10" s="5" t="s">
        <v>8</v>
      </c>
      <c r="H10" s="5"/>
    </row>
    <row r="11" spans="1:8" x14ac:dyDescent="0.45">
      <c r="A11" s="5" t="s">
        <v>11</v>
      </c>
      <c r="B11" s="5">
        <f>_xlfn.ISOWEEKNUM($C$4+1*7)</f>
        <v>37</v>
      </c>
      <c r="C11" s="10">
        <f>DATE(YEAR($C$4+1*7),MONTH($C$4+1*7),DAY($C$4+1*7)-WEEKDAY($C$4+1*7,2)+1)</f>
        <v>45908</v>
      </c>
      <c r="D11" s="10">
        <f t="shared" si="0"/>
        <v>45914</v>
      </c>
      <c r="E11" s="5" t="s">
        <v>8</v>
      </c>
      <c r="F11" s="5" t="s">
        <v>7</v>
      </c>
      <c r="G11" s="5" t="s">
        <v>10</v>
      </c>
      <c r="H11" s="5"/>
    </row>
    <row r="12" spans="1:8" x14ac:dyDescent="0.45">
      <c r="A12" s="5" t="s">
        <v>11</v>
      </c>
      <c r="B12" s="5">
        <f>_xlfn.ISOWEEKNUM($C$4+1*7)</f>
        <v>37</v>
      </c>
      <c r="C12" s="10">
        <f>DATE(YEAR($C$4+1*7),MONTH($C$4+1*7),DAY($C$4+1*7)-WEEKDAY($C$4+1*7,2)+1)</f>
        <v>45908</v>
      </c>
      <c r="D12" s="10">
        <f t="shared" si="0"/>
        <v>45914</v>
      </c>
      <c r="E12" s="5" t="s">
        <v>6</v>
      </c>
      <c r="F12" s="5" t="s">
        <v>9</v>
      </c>
      <c r="G12" s="5" t="s">
        <v>10</v>
      </c>
      <c r="H12" s="5"/>
    </row>
    <row r="13" spans="1:8" x14ac:dyDescent="0.45">
      <c r="A13" s="6" t="s">
        <v>12</v>
      </c>
      <c r="B13" s="6">
        <f>_xlfn.ISOWEEKNUM($C$4+2*7)</f>
        <v>38</v>
      </c>
      <c r="C13" s="11">
        <f>DATE(YEAR($C$4+2*7),MONTH($C$4+2*7),DAY($C$4+2*7)-WEEKDAY($C$4+2*7,2)+1)</f>
        <v>45915</v>
      </c>
      <c r="D13" s="11">
        <f t="shared" si="0"/>
        <v>45921</v>
      </c>
      <c r="E13" s="6" t="s">
        <v>13</v>
      </c>
      <c r="F13" s="6" t="s">
        <v>14</v>
      </c>
      <c r="G13" s="6" t="s">
        <v>13</v>
      </c>
      <c r="H13" s="6"/>
    </row>
    <row r="14" spans="1:8" x14ac:dyDescent="0.45">
      <c r="A14" s="5" t="s">
        <v>15</v>
      </c>
      <c r="B14" s="5">
        <f>_xlfn.ISOWEEKNUM($C$4+3*7)</f>
        <v>39</v>
      </c>
      <c r="C14" s="10">
        <f>DATE(YEAR($C$4+3*7),MONTH($C$4+3*7),DAY($C$4+3*7)-WEEKDAY($C$4+3*7,2)+1)</f>
        <v>45922</v>
      </c>
      <c r="D14" s="10">
        <f t="shared" si="0"/>
        <v>45928</v>
      </c>
      <c r="E14" s="5" t="s">
        <v>8</v>
      </c>
      <c r="F14" s="5" t="s">
        <v>10</v>
      </c>
      <c r="G14" s="5" t="s">
        <v>6</v>
      </c>
      <c r="H14" s="5"/>
    </row>
    <row r="15" spans="1:8" x14ac:dyDescent="0.45">
      <c r="A15" s="5" t="s">
        <v>15</v>
      </c>
      <c r="B15" s="5">
        <f>_xlfn.ISOWEEKNUM($C$4+3*7)</f>
        <v>39</v>
      </c>
      <c r="C15" s="10">
        <f>DATE(YEAR($C$4+3*7),MONTH($C$4+3*7),DAY($C$4+3*7)-WEEKDAY($C$4+3*7,2)+1)</f>
        <v>45922</v>
      </c>
      <c r="D15" s="10">
        <f t="shared" si="0"/>
        <v>45928</v>
      </c>
      <c r="E15" s="5" t="s">
        <v>9</v>
      </c>
      <c r="F15" s="5" t="s">
        <v>7</v>
      </c>
      <c r="G15" s="5" t="s">
        <v>6</v>
      </c>
      <c r="H15" s="5"/>
    </row>
    <row r="16" spans="1:8" x14ac:dyDescent="0.45">
      <c r="A16" s="5" t="s">
        <v>16</v>
      </c>
      <c r="B16" s="5">
        <f>_xlfn.ISOWEEKNUM($C$4+4*7)</f>
        <v>40</v>
      </c>
      <c r="C16" s="10">
        <f>DATE(YEAR($C$4+4*7),MONTH($C$4+4*7),DAY($C$4+4*7)-WEEKDAY($C$4+4*7,2)+1)</f>
        <v>45929</v>
      </c>
      <c r="D16" s="10">
        <f t="shared" si="0"/>
        <v>45935</v>
      </c>
      <c r="E16" s="5" t="s">
        <v>8</v>
      </c>
      <c r="F16" s="5" t="s">
        <v>9</v>
      </c>
      <c r="G16" s="5" t="s">
        <v>7</v>
      </c>
      <c r="H16" s="5"/>
    </row>
    <row r="17" spans="1:8" x14ac:dyDescent="0.45">
      <c r="A17" s="5" t="s">
        <v>16</v>
      </c>
      <c r="B17" s="5">
        <f>_xlfn.ISOWEEKNUM($C$4+4*7)</f>
        <v>40</v>
      </c>
      <c r="C17" s="10">
        <f>DATE(YEAR($C$4+4*7),MONTH($C$4+4*7),DAY($C$4+4*7)-WEEKDAY($C$4+4*7,2)+1)</f>
        <v>45929</v>
      </c>
      <c r="D17" s="10">
        <f t="shared" si="0"/>
        <v>45935</v>
      </c>
      <c r="E17" s="5" t="s">
        <v>6</v>
      </c>
      <c r="F17" s="5" t="s">
        <v>10</v>
      </c>
      <c r="G17" s="5" t="s">
        <v>7</v>
      </c>
      <c r="H17" s="5"/>
    </row>
    <row r="18" spans="1:8" x14ac:dyDescent="0.45">
      <c r="A18" s="5" t="s">
        <v>17</v>
      </c>
      <c r="B18" s="5">
        <f>_xlfn.ISOWEEKNUM($C$4+5*7)</f>
        <v>41</v>
      </c>
      <c r="C18" s="10">
        <f>DATE(YEAR($C$4+5*7),MONTH($C$4+5*7),DAY($C$4+5*7)-WEEKDAY($C$4+5*7,2)+1)</f>
        <v>45936</v>
      </c>
      <c r="D18" s="10">
        <f t="shared" si="0"/>
        <v>45942</v>
      </c>
      <c r="E18" s="5" t="s">
        <v>8</v>
      </c>
      <c r="F18" s="5" t="s">
        <v>6</v>
      </c>
      <c r="G18" s="5" t="s">
        <v>9</v>
      </c>
      <c r="H18" s="5"/>
    </row>
    <row r="19" spans="1:8" x14ac:dyDescent="0.45">
      <c r="A19" s="5" t="s">
        <v>17</v>
      </c>
      <c r="B19" s="5">
        <f>_xlfn.ISOWEEKNUM($C$4+5*7)</f>
        <v>41</v>
      </c>
      <c r="C19" s="10">
        <f>DATE(YEAR($C$4+5*7),MONTH($C$4+5*7),DAY($C$4+5*7)-WEEKDAY($C$4+5*7,2)+1)</f>
        <v>45936</v>
      </c>
      <c r="D19" s="10">
        <f t="shared" si="0"/>
        <v>45942</v>
      </c>
      <c r="E19" s="5" t="s">
        <v>10</v>
      </c>
      <c r="F19" s="5" t="s">
        <v>7</v>
      </c>
      <c r="G19" s="5" t="s">
        <v>9</v>
      </c>
      <c r="H19" s="5"/>
    </row>
    <row r="20" spans="1:8" x14ac:dyDescent="0.45">
      <c r="A20" s="6" t="s">
        <v>18</v>
      </c>
      <c r="B20" s="6">
        <f>_xlfn.ISOWEEKNUM($C$4+6*7)</f>
        <v>42</v>
      </c>
      <c r="C20" s="11">
        <f>DATE(YEAR($C$4+6*7),MONTH($C$4+6*7),DAY($C$4+6*7)-WEEKDAY($C$4+6*7,2)+1)</f>
        <v>45943</v>
      </c>
      <c r="D20" s="11">
        <f t="shared" si="0"/>
        <v>45949</v>
      </c>
      <c r="E20" s="6" t="s">
        <v>13</v>
      </c>
      <c r="F20" s="6" t="s">
        <v>14</v>
      </c>
      <c r="G20" s="6" t="s">
        <v>13</v>
      </c>
      <c r="H20" s="6"/>
    </row>
    <row r="21" spans="1:8" x14ac:dyDescent="0.45">
      <c r="A21" s="5" t="s">
        <v>19</v>
      </c>
      <c r="B21" s="5">
        <f>_xlfn.ISOWEEKNUM($C$4+7*7)</f>
        <v>43</v>
      </c>
      <c r="C21" s="10">
        <f>DATE(YEAR($C$4+7*7),MONTH($C$4+7*7),DAY($C$4+7*7)-WEEKDAY($C$4+7*7,2)+1)</f>
        <v>45950</v>
      </c>
      <c r="D21" s="10">
        <f t="shared" si="0"/>
        <v>45956</v>
      </c>
      <c r="E21" s="5" t="s">
        <v>6</v>
      </c>
      <c r="F21" s="5" t="s">
        <v>7</v>
      </c>
      <c r="G21" s="5" t="s">
        <v>8</v>
      </c>
      <c r="H21" s="5"/>
    </row>
    <row r="22" spans="1:8" x14ac:dyDescent="0.45">
      <c r="A22" s="5" t="s">
        <v>19</v>
      </c>
      <c r="B22" s="5">
        <f>_xlfn.ISOWEEKNUM($C$4+7*7)</f>
        <v>43</v>
      </c>
      <c r="C22" s="10">
        <f>DATE(YEAR($C$4+7*7),MONTH($C$4+7*7),DAY($C$4+7*7)-WEEKDAY($C$4+7*7,2)+1)</f>
        <v>45950</v>
      </c>
      <c r="D22" s="10">
        <f t="shared" si="0"/>
        <v>45956</v>
      </c>
      <c r="E22" s="5" t="s">
        <v>9</v>
      </c>
      <c r="F22" s="5" t="s">
        <v>10</v>
      </c>
      <c r="G22" s="5" t="s">
        <v>8</v>
      </c>
      <c r="H22" s="5"/>
    </row>
    <row r="23" spans="1:8" x14ac:dyDescent="0.45">
      <c r="A23" s="5" t="s">
        <v>20</v>
      </c>
      <c r="B23" s="5">
        <f>_xlfn.ISOWEEKNUM($C$4+8*7)</f>
        <v>44</v>
      </c>
      <c r="C23" s="10">
        <f>DATE(YEAR($C$4+8*7),MONTH($C$4+8*7),DAY($C$4+8*7)-WEEKDAY($C$4+8*7,2)+1)</f>
        <v>45957</v>
      </c>
      <c r="D23" s="10">
        <f t="shared" si="0"/>
        <v>45963</v>
      </c>
      <c r="E23" s="5" t="s">
        <v>8</v>
      </c>
      <c r="F23" s="5" t="s">
        <v>7</v>
      </c>
      <c r="G23" s="5" t="s">
        <v>10</v>
      </c>
      <c r="H23" s="5"/>
    </row>
    <row r="24" spans="1:8" x14ac:dyDescent="0.45">
      <c r="A24" s="5" t="s">
        <v>20</v>
      </c>
      <c r="B24" s="5">
        <f>_xlfn.ISOWEEKNUM($C$4+8*7)</f>
        <v>44</v>
      </c>
      <c r="C24" s="10">
        <f>DATE(YEAR($C$4+8*7),MONTH($C$4+8*7),DAY($C$4+8*7)-WEEKDAY($C$4+8*7,2)+1)</f>
        <v>45957</v>
      </c>
      <c r="D24" s="10">
        <f t="shared" si="0"/>
        <v>45963</v>
      </c>
      <c r="E24" s="5" t="s">
        <v>6</v>
      </c>
      <c r="F24" s="5" t="s">
        <v>9</v>
      </c>
      <c r="G24" s="5" t="s">
        <v>10</v>
      </c>
      <c r="H24" s="5"/>
    </row>
    <row r="25" spans="1:8" x14ac:dyDescent="0.45">
      <c r="A25" s="6" t="s">
        <v>21</v>
      </c>
      <c r="B25" s="6">
        <f>_xlfn.ISOWEEKNUM($C$4+9*7)</f>
        <v>45</v>
      </c>
      <c r="C25" s="11">
        <f>DATE(YEAR($C$4+9*7),MONTH($C$4+9*7),DAY($C$4+9*7)-WEEKDAY($C$4+9*7,2)+1)</f>
        <v>45964</v>
      </c>
      <c r="D25" s="11">
        <f t="shared" si="0"/>
        <v>45970</v>
      </c>
      <c r="E25" s="6" t="s">
        <v>13</v>
      </c>
      <c r="F25" s="6" t="s">
        <v>14</v>
      </c>
      <c r="G25" s="6" t="s">
        <v>13</v>
      </c>
      <c r="H25" s="6"/>
    </row>
    <row r="26" spans="1:8" x14ac:dyDescent="0.45">
      <c r="A26" s="5" t="s">
        <v>22</v>
      </c>
      <c r="B26" s="5">
        <f>_xlfn.ISOWEEKNUM($C$4+10*7)</f>
        <v>46</v>
      </c>
      <c r="C26" s="10">
        <f>DATE(YEAR($C$4+10*7),MONTH($C$4+10*7),DAY($C$4+10*7)-WEEKDAY($C$4+10*7,2)+1)</f>
        <v>45971</v>
      </c>
      <c r="D26" s="10">
        <f t="shared" si="0"/>
        <v>45977</v>
      </c>
      <c r="E26" s="5" t="s">
        <v>8</v>
      </c>
      <c r="F26" s="5" t="s">
        <v>10</v>
      </c>
      <c r="G26" s="5" t="s">
        <v>6</v>
      </c>
      <c r="H26" s="5"/>
    </row>
    <row r="27" spans="1:8" x14ac:dyDescent="0.45">
      <c r="A27" s="5" t="s">
        <v>22</v>
      </c>
      <c r="B27" s="5">
        <f>_xlfn.ISOWEEKNUM($C$4+10*7)</f>
        <v>46</v>
      </c>
      <c r="C27" s="10">
        <f>DATE(YEAR($C$4+10*7),MONTH($C$4+10*7),DAY($C$4+10*7)-WEEKDAY($C$4+10*7,2)+1)</f>
        <v>45971</v>
      </c>
      <c r="D27" s="10">
        <f t="shared" si="0"/>
        <v>45977</v>
      </c>
      <c r="E27" s="5" t="s">
        <v>9</v>
      </c>
      <c r="F27" s="5" t="s">
        <v>7</v>
      </c>
      <c r="G27" s="5" t="s">
        <v>6</v>
      </c>
      <c r="H27" s="5"/>
    </row>
    <row r="28" spans="1:8" x14ac:dyDescent="0.45">
      <c r="A28" s="5" t="s">
        <v>23</v>
      </c>
      <c r="B28" s="5">
        <f>_xlfn.ISOWEEKNUM($C$4+11*7)</f>
        <v>47</v>
      </c>
      <c r="C28" s="10">
        <f>DATE(YEAR($C$4+11*7),MONTH($C$4+11*7),DAY($C$4+11*7)-WEEKDAY($C$4+11*7,2)+1)</f>
        <v>45978</v>
      </c>
      <c r="D28" s="10">
        <f t="shared" si="0"/>
        <v>45984</v>
      </c>
      <c r="E28" s="5" t="s">
        <v>8</v>
      </c>
      <c r="F28" s="5" t="s">
        <v>9</v>
      </c>
      <c r="G28" s="5" t="s">
        <v>7</v>
      </c>
      <c r="H28" s="5"/>
    </row>
    <row r="29" spans="1:8" x14ac:dyDescent="0.45">
      <c r="A29" s="5" t="s">
        <v>23</v>
      </c>
      <c r="B29" s="5">
        <f>_xlfn.ISOWEEKNUM($C$4+11*7)</f>
        <v>47</v>
      </c>
      <c r="C29" s="10">
        <f>DATE(YEAR($C$4+11*7),MONTH($C$4+11*7),DAY($C$4+11*7)-WEEKDAY($C$4+11*7,2)+1)</f>
        <v>45978</v>
      </c>
      <c r="D29" s="10">
        <f t="shared" si="0"/>
        <v>45984</v>
      </c>
      <c r="E29" s="5" t="s">
        <v>6</v>
      </c>
      <c r="F29" s="5" t="s">
        <v>10</v>
      </c>
      <c r="G29" s="5" t="s">
        <v>7</v>
      </c>
      <c r="H29" s="5"/>
    </row>
    <row r="30" spans="1:8" x14ac:dyDescent="0.45">
      <c r="A30" s="5" t="s">
        <v>24</v>
      </c>
      <c r="B30" s="5">
        <f>_xlfn.ISOWEEKNUM($C$4+12*7)</f>
        <v>48</v>
      </c>
      <c r="C30" s="10">
        <f>DATE(YEAR($C$4+12*7),MONTH($C$4+12*7),DAY($C$4+12*7)-WEEKDAY($C$4+12*7,2)+1)</f>
        <v>45985</v>
      </c>
      <c r="D30" s="10">
        <f t="shared" si="0"/>
        <v>45991</v>
      </c>
      <c r="E30" s="5" t="s">
        <v>8</v>
      </c>
      <c r="F30" s="5" t="s">
        <v>6</v>
      </c>
      <c r="G30" s="5" t="s">
        <v>9</v>
      </c>
      <c r="H30" s="5"/>
    </row>
    <row r="31" spans="1:8" x14ac:dyDescent="0.45">
      <c r="A31" s="5" t="s">
        <v>24</v>
      </c>
      <c r="B31" s="5">
        <f>_xlfn.ISOWEEKNUM($C$4+12*7)</f>
        <v>48</v>
      </c>
      <c r="C31" s="10">
        <f>DATE(YEAR($C$4+12*7),MONTH($C$4+12*7),DAY($C$4+12*7)-WEEKDAY($C$4+12*7,2)+1)</f>
        <v>45985</v>
      </c>
      <c r="D31" s="10">
        <f t="shared" si="0"/>
        <v>45991</v>
      </c>
      <c r="E31" s="5" t="s">
        <v>10</v>
      </c>
      <c r="F31" s="5" t="s">
        <v>7</v>
      </c>
      <c r="G31" s="5" t="s">
        <v>9</v>
      </c>
      <c r="H31" s="5"/>
    </row>
    <row r="32" spans="1:8" x14ac:dyDescent="0.45">
      <c r="A32" s="6" t="s">
        <v>25</v>
      </c>
      <c r="B32" s="6">
        <f>_xlfn.ISOWEEKNUM($C$4+13*7)</f>
        <v>49</v>
      </c>
      <c r="C32" s="11">
        <f>DATE(YEAR($C$4+13*7),MONTH($C$4+13*7),DAY($C$4+13*7)-WEEKDAY($C$4+13*7,2)+1)</f>
        <v>45992</v>
      </c>
      <c r="D32" s="11">
        <f t="shared" si="0"/>
        <v>45998</v>
      </c>
      <c r="E32" s="6" t="s">
        <v>13</v>
      </c>
      <c r="F32" s="6" t="s">
        <v>14</v>
      </c>
      <c r="G32" s="6" t="s">
        <v>13</v>
      </c>
      <c r="H32" s="6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program_aktiv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Stoffersen</dc:creator>
  <cp:lastModifiedBy>Peter Stoffersen</cp:lastModifiedBy>
  <dcterms:created xsi:type="dcterms:W3CDTF">2026-09-16T12:55:11Z</dcterms:created>
  <dcterms:modified xsi:type="dcterms:W3CDTF">2026-09-16T12:59:40Z</dcterms:modified>
</cp:coreProperties>
</file>